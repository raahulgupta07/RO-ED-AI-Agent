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sumyathtwe.PAHTAMA\Desktop\AI Project\"/>
    </mc:Choice>
  </mc:AlternateContent>
  <xr:revisionPtr revIDLastSave="0" documentId="13_ncr:1_{C45D559A-22EE-41EC-8ADD-2D783E809FD1}" xr6:coauthVersionLast="47" xr6:coauthVersionMax="47" xr10:uidLastSave="{00000000-0000-0000-0000-000000000000}"/>
  <bookViews>
    <workbookView xWindow="-110" yWindow="-110" windowWidth="19420" windowHeight="10300" firstSheet="1" activeTab="1" xr2:uid="{465F5913-7266-42FB-AA84-A6A074592D0D}"/>
  </bookViews>
  <sheets>
    <sheet name="Import Data" sheetId="8" state="hidden" r:id="rId1"/>
    <sheet name="Results" sheetId="14" r:id="rId2"/>
    <sheet name="Requirement Data for RO" sheetId="1" state="hidden" r:id="rId3"/>
    <sheet name="Group" sheetId="10" state="hidden" r:id="rId4"/>
    <sheet name="Export Data" sheetId="12" state="hidden" r:id="rId5"/>
    <sheet name="Requirement Data for ED" sheetId="13" state="hidden" r:id="rId6"/>
    <sheet name="Teting Data (2)" sheetId="9" state="hidden" r:id="rId7"/>
    <sheet name="Sheet1" sheetId="3" state="hidden" r:id="rId8"/>
    <sheet name="Sheet2" sheetId="7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L6" i="12"/>
  <c r="H6" i="12"/>
  <c r="U4" i="12"/>
  <c r="J4" i="12"/>
  <c r="U13" i="12" l="1"/>
  <c r="U6" i="12"/>
  <c r="U11" i="12" s="1"/>
  <c r="U15" i="12" s="1"/>
  <c r="J6" i="12"/>
</calcChain>
</file>

<file path=xl/sharedStrings.xml><?xml version="1.0" encoding="utf-8"?>
<sst xmlns="http://schemas.openxmlformats.org/spreadsheetml/2006/main" count="327" uniqueCount="159">
  <si>
    <t>Declaration No</t>
  </si>
  <si>
    <t>Invoice Price</t>
  </si>
  <si>
    <t>Exchange Rate</t>
  </si>
  <si>
    <t>Total Custom Value</t>
  </si>
  <si>
    <t>THB</t>
  </si>
  <si>
    <t>USD</t>
  </si>
  <si>
    <t>Consignor</t>
  </si>
  <si>
    <t>Import/Export Customs Duty</t>
  </si>
  <si>
    <t>Commercial Tax</t>
  </si>
  <si>
    <t>Advance Income Tax</t>
  </si>
  <si>
    <t>Security Fee</t>
  </si>
  <si>
    <t>Maccs Service Fee</t>
  </si>
  <si>
    <t>Importer</t>
  </si>
  <si>
    <t>Invoice No</t>
  </si>
  <si>
    <t xml:space="preserve">Exemption/Reduction </t>
  </si>
  <si>
    <t>Sr No</t>
  </si>
  <si>
    <t>Exemption/Reduction</t>
  </si>
  <si>
    <t>Total Customs Value</t>
  </si>
  <si>
    <t>PREMIUM DISTRIBUTION COMPANY LIMITED</t>
  </si>
  <si>
    <t>ASIATIC MART HOLDING PTE LTD</t>
  </si>
  <si>
    <t>PDG25016</t>
  </si>
  <si>
    <t>Declaration Date</t>
  </si>
  <si>
    <t>From the Release Order Notification section of the attached customs document, extract the following fields:</t>
  </si>
  <si>
    <t>From the provided Release Order Notification document, please extract the following key pieces of information. Present the output as a list of key-value pairs. If a field is not present, indicate 'N/A'.</t>
  </si>
  <si>
    <t>Declaration Number</t>
  </si>
  <si>
    <t>Importer Name</t>
  </si>
  <si>
    <t>Consignor Name</t>
  </si>
  <si>
    <t>Invoice Number</t>
  </si>
  <si>
    <t>Invoice Price (including currency if specified)</t>
  </si>
  <si>
    <t>Exchange Rate (including currencies if specified)</t>
  </si>
  <si>
    <t>Total Customs Value (including currency if specified)</t>
  </si>
  <si>
    <t>Import/Export Customs Duty (including currency if specified)</t>
  </si>
  <si>
    <t>Commercial Tax (including currency if specified)</t>
  </si>
  <si>
    <t>Advance Income Tax (including currency if specified)</t>
  </si>
  <si>
    <t>Security Fee (including currency if specified)</t>
  </si>
  <si>
    <t>MACCS Service Fee (including currency if specified)</t>
  </si>
  <si>
    <t>Exemption/Reduction (mention if it's a value or a count, and include currency if applicable)</t>
  </si>
  <si>
    <t>Importer (Name)</t>
  </si>
  <si>
    <t>Consignor (Name)</t>
  </si>
  <si>
    <t>Invoice Price (currency)</t>
  </si>
  <si>
    <t>Total Customs Value (currency)</t>
  </si>
  <si>
    <t>Import/Export Customs Duty (amount &amp; currency)</t>
  </si>
  <si>
    <t>PDG25014</t>
  </si>
  <si>
    <t>1,172,853.4954 THB</t>
  </si>
  <si>
    <t>THB/USD = 65.0025</t>
  </si>
  <si>
    <t>98,773,433.29 MMK</t>
  </si>
  <si>
    <t>114,816,014 MMK</t>
  </si>
  <si>
    <t>15,679,472.41 MMK</t>
  </si>
  <si>
    <t>1,975,468 MMK</t>
  </si>
  <si>
    <t>22,520,954 MMK</t>
  </si>
  <si>
    <t>50,000 MMK (20,000 MF + 30,000 SF)</t>
  </si>
  <si>
    <t>0 MMK</t>
  </si>
  <si>
    <t>2,025,360.0000 THB</t>
  </si>
  <si>
    <t>THB/USD = 64.408</t>
  </si>
  <si>
    <t>130,449,386.88 MMK</t>
  </si>
  <si>
    <t>13,913,481 MMK</t>
  </si>
  <si>
    <t>6,718,143.42 MMK</t>
  </si>
  <si>
    <t>2,608,987 MMK</t>
  </si>
  <si>
    <t>6,572,468 MMK</t>
  </si>
  <si>
    <t>Import/Export Customs Duty (CD)</t>
  </si>
  <si>
    <t>Commercial Tax (CT)</t>
  </si>
  <si>
    <t>Advance Income Tax (AT)</t>
  </si>
  <si>
    <t>Security Fee (SF)</t>
  </si>
  <si>
    <t>MACCS Service Fee (MF)</t>
  </si>
  <si>
    <t>YGNBIL12526000428</t>
  </si>
  <si>
    <t>14,816,014.99 MMK</t>
  </si>
  <si>
    <t>5,679,472.41 MMK</t>
  </si>
  <si>
    <t>20,000 MMK</t>
  </si>
  <si>
    <t>30,000 MMK</t>
  </si>
  <si>
    <t>Asiatic Mart Holding PTE Ltd</t>
  </si>
  <si>
    <t>YGNBIL12526000566</t>
  </si>
  <si>
    <t>643,800.0000 THB</t>
  </si>
  <si>
    <t>Not shown on Page 1</t>
  </si>
  <si>
    <t>3,913,481.6 MMK</t>
  </si>
  <si>
    <t>6,718,143 MMK</t>
  </si>
  <si>
    <t>Testing Date</t>
  </si>
  <si>
    <t>Asiatic Mart Holding Pte Ltd</t>
  </si>
  <si>
    <t>1,409,400.0000 THB</t>
  </si>
  <si>
    <t>20,000 *</t>
  </si>
  <si>
    <t>MMK 0</t>
  </si>
  <si>
    <t>Correct Data</t>
  </si>
  <si>
    <t>Testing Data</t>
  </si>
  <si>
    <t>Name</t>
  </si>
  <si>
    <t>Mail</t>
  </si>
  <si>
    <t>Aye Aye Tun</t>
  </si>
  <si>
    <t>Wut Yee</t>
  </si>
  <si>
    <t>Yu Yu Win</t>
  </si>
  <si>
    <t>Aye Htwe Phyu</t>
  </si>
  <si>
    <t>Ei Ei Win</t>
  </si>
  <si>
    <t>Lin Lin Yu</t>
  </si>
  <si>
    <t>aat@pahtama.com</t>
  </si>
  <si>
    <t>wutyee@pahtama.com</t>
  </si>
  <si>
    <t>acc-tax02@pahtama.com</t>
  </si>
  <si>
    <t>yywin@pahtama.com</t>
  </si>
  <si>
    <t>acc-tax04@pahtama.com</t>
  </si>
  <si>
    <t>acc-tax@pahtama.com</t>
  </si>
  <si>
    <t>acc-gl01@pahtama.com</t>
  </si>
  <si>
    <t>Si Sandi Soe</t>
  </si>
  <si>
    <t>A- PDG25016</t>
  </si>
  <si>
    <t>A PDG25014</t>
  </si>
  <si>
    <t>ED INFORMATION</t>
  </si>
  <si>
    <t>SALES</t>
  </si>
  <si>
    <t>ED Sr</t>
  </si>
  <si>
    <t>ED No</t>
  </si>
  <si>
    <t>ED Date</t>
  </si>
  <si>
    <t>Exporter</t>
  </si>
  <si>
    <t>Consignee Name</t>
  </si>
  <si>
    <t>Cur</t>
  </si>
  <si>
    <t xml:space="preserve">Amt </t>
  </si>
  <si>
    <t>Rate</t>
  </si>
  <si>
    <t>Total Amount(in MMK)</t>
  </si>
  <si>
    <t>Custom Duty</t>
  </si>
  <si>
    <t>Income Tax (MMK)</t>
  </si>
  <si>
    <t>Security Fee (MMK)</t>
  </si>
  <si>
    <t>Maccs Service Fees 
(MMK)</t>
  </si>
  <si>
    <t>Item Discription</t>
  </si>
  <si>
    <t>Qty</t>
  </si>
  <si>
    <t>UOM</t>
  </si>
  <si>
    <t>Cr</t>
  </si>
  <si>
    <t>Price</t>
  </si>
  <si>
    <t>Amount</t>
  </si>
  <si>
    <t xml:space="preserve">PD </t>
  </si>
  <si>
    <t>Asiatic Mart(Thiland)</t>
  </si>
  <si>
    <t>KG</t>
  </si>
  <si>
    <t>Dried Chilli(with Stem)</t>
  </si>
  <si>
    <t>PD-091/2025</t>
  </si>
  <si>
    <t>SZ Amt</t>
  </si>
  <si>
    <t>Diff</t>
  </si>
  <si>
    <t>Mar'25 Sales</t>
  </si>
  <si>
    <t>Extract from Invoice/Packing List</t>
  </si>
  <si>
    <t>Description of Good</t>
  </si>
  <si>
    <t>Unit</t>
  </si>
  <si>
    <t>Unit Price</t>
  </si>
  <si>
    <t>Currency</t>
  </si>
  <si>
    <t>Extract from page 1 of Allowed shipment notification</t>
  </si>
  <si>
    <t>Total customs value</t>
  </si>
  <si>
    <t>Import/Export customs Duty(CD)</t>
  </si>
  <si>
    <t>Advance Income Tax(AT)</t>
  </si>
  <si>
    <t>Maccs Service Fees(MF)</t>
  </si>
  <si>
    <t xml:space="preserve">Invoice Price </t>
  </si>
  <si>
    <t xml:space="preserve">Total Customs Value </t>
  </si>
  <si>
    <t xml:space="preserve">Import/Export Customs Duty </t>
  </si>
  <si>
    <t>eclaration No</t>
  </si>
  <si>
    <t>Invoice Currency</t>
  </si>
  <si>
    <t>Exchange Currency</t>
  </si>
  <si>
    <t>Customs Value Currency</t>
  </si>
  <si>
    <t>Customs Duty (CD)</t>
  </si>
  <si>
    <t>CD Currency</t>
  </si>
  <si>
    <t>CT Currency</t>
  </si>
  <si>
    <t>AT Currency</t>
  </si>
  <si>
    <t>SF Currency</t>
  </si>
  <si>
    <t>MF Currency</t>
  </si>
  <si>
    <t>Exemption Currency</t>
  </si>
  <si>
    <t>49,88,718.00</t>
  </si>
  <si>
    <t>MMK</t>
  </si>
  <si>
    <t>19,84,50,000.00</t>
  </si>
  <si>
    <t>15,95,350.00</t>
  </si>
  <si>
    <t>20,44,03,500.00</t>
  </si>
  <si>
    <t>39,69,000.00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</si>
</sst>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4"/>
      <color rgb="FF4E4E4E"/>
      <name val="Segoe UI"/>
      <family val="2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B0FB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9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  <xf numFmtId="0" fontId="5" fillId="0" borderId="0" xfId="0" applyFont="1" applyAlignment="1">
      <alignment vertical="center" wrapText="1"/>
    </xf>
    <xf numFmtId="1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43" fontId="6" fillId="0" borderId="0" xfId="1" applyFont="1" applyAlignment="1">
      <alignment vertical="center" wrapText="1"/>
    </xf>
    <xf numFmtId="0" fontId="1" fillId="0" borderId="0" xfId="0" applyFont="1" applyAlignment="1">
      <alignment horizontal="left" vertical="center"/>
    </xf>
    <xf numFmtId="1" fontId="7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14" fontId="7" fillId="0" borderId="0" xfId="0" applyNumberFormat="1" applyFont="1" applyAlignment="1">
      <alignment vertical="center" wrapText="1"/>
    </xf>
    <xf numFmtId="43" fontId="7" fillId="0" borderId="0" xfId="1" applyFont="1" applyAlignment="1">
      <alignment vertical="center" wrapText="1"/>
    </xf>
    <xf numFmtId="1" fontId="7" fillId="0" borderId="0" xfId="0" applyNumberFormat="1" applyFont="1"/>
    <xf numFmtId="0" fontId="8" fillId="0" borderId="1" xfId="0" applyFont="1" applyBorder="1"/>
    <xf numFmtId="0" fontId="8" fillId="0" borderId="4" xfId="0" applyFont="1" applyBorder="1"/>
    <xf numFmtId="0" fontId="8" fillId="2" borderId="0" xfId="0" applyFont="1" applyFill="1" applyAlignment="1">
      <alignment horizontal="center" wrapText="1"/>
    </xf>
    <xf numFmtId="14" fontId="7" fillId="0" borderId="0" xfId="0" applyNumberFormat="1" applyFont="1"/>
    <xf numFmtId="43" fontId="7" fillId="0" borderId="0" xfId="1" applyFont="1" applyFill="1" applyAlignment="1"/>
    <xf numFmtId="39" fontId="7" fillId="0" borderId="0" xfId="0" applyNumberFormat="1" applyFont="1"/>
    <xf numFmtId="0" fontId="7" fillId="0" borderId="0" xfId="0" applyFont="1" applyAlignment="1">
      <alignment horizontal="center"/>
    </xf>
    <xf numFmtId="0" fontId="7" fillId="2" borderId="0" xfId="0" applyFont="1" applyFill="1"/>
    <xf numFmtId="39" fontId="7" fillId="0" borderId="0" xfId="1" applyNumberFormat="1" applyFont="1" applyFill="1" applyAlignment="1"/>
    <xf numFmtId="43" fontId="7" fillId="2" borderId="0" xfId="1" applyFont="1" applyFill="1" applyBorder="1" applyAlignment="1"/>
    <xf numFmtId="1" fontId="7" fillId="0" borderId="0" xfId="1" applyNumberFormat="1" applyFont="1" applyFill="1" applyAlignment="1"/>
    <xf numFmtId="2" fontId="7" fillId="0" borderId="0" xfId="0" applyNumberFormat="1" applyFont="1"/>
    <xf numFmtId="4" fontId="7" fillId="0" borderId="0" xfId="0" applyNumberFormat="1" applyFont="1"/>
    <xf numFmtId="0" fontId="8" fillId="0" borderId="9" xfId="0" applyFont="1" applyBorder="1"/>
    <xf numFmtId="43" fontId="8" fillId="0" borderId="9" xfId="1" applyFont="1" applyBorder="1" applyAlignment="1"/>
    <xf numFmtId="1" fontId="8" fillId="0" borderId="9" xfId="0" applyNumberFormat="1" applyFont="1" applyBorder="1"/>
    <xf numFmtId="43" fontId="8" fillId="0" borderId="9" xfId="1" applyFont="1" applyFill="1" applyBorder="1" applyAlignment="1"/>
    <xf numFmtId="39" fontId="8" fillId="0" borderId="9" xfId="1" applyNumberFormat="1" applyFont="1" applyBorder="1" applyAlignment="1"/>
    <xf numFmtId="43" fontId="8" fillId="2" borderId="9" xfId="1" applyFont="1" applyFill="1" applyBorder="1" applyAlignment="1"/>
    <xf numFmtId="1" fontId="8" fillId="0" borderId="9" xfId="1" applyNumberFormat="1" applyFont="1" applyFill="1" applyBorder="1" applyAlignment="1"/>
    <xf numFmtId="1" fontId="1" fillId="0" borderId="0" xfId="0" applyNumberFormat="1" applyFont="1"/>
    <xf numFmtId="43" fontId="8" fillId="0" borderId="0" xfId="1" applyFont="1" applyFill="1" applyAlignment="1"/>
    <xf numFmtId="43" fontId="1" fillId="0" borderId="0" xfId="1" applyFont="1" applyFill="1" applyAlignment="1"/>
    <xf numFmtId="39" fontId="1" fillId="0" borderId="0" xfId="1" applyNumberFormat="1" applyFont="1" applyFill="1" applyAlignment="1"/>
    <xf numFmtId="43" fontId="1" fillId="2" borderId="0" xfId="1" applyFont="1" applyFill="1" applyBorder="1" applyAlignment="1"/>
    <xf numFmtId="43" fontId="7" fillId="0" borderId="0" xfId="0" applyNumberFormat="1" applyFont="1"/>
    <xf numFmtId="0" fontId="10" fillId="0" borderId="0" xfId="0" applyFont="1"/>
    <xf numFmtId="0" fontId="7" fillId="0" borderId="1" xfId="0" applyFont="1" applyBorder="1"/>
    <xf numFmtId="1" fontId="7" fillId="0" borderId="1" xfId="0" applyNumberFormat="1" applyFont="1" applyBorder="1"/>
    <xf numFmtId="4" fontId="7" fillId="0" borderId="0" xfId="0" applyNumberFormat="1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 wrapText="1"/>
    </xf>
    <xf numFmtId="0" fontId="8" fillId="3" borderId="3" xfId="0" applyFont="1" applyFill="1" applyBorder="1" applyAlignment="1">
      <alignment horizontal="center" wrapText="1"/>
    </xf>
    <xf numFmtId="39" fontId="8" fillId="3" borderId="2" xfId="0" applyNumberFormat="1" applyFont="1" applyFill="1" applyBorder="1" applyAlignment="1">
      <alignment horizontal="center" wrapText="1"/>
    </xf>
    <xf numFmtId="39" fontId="8" fillId="3" borderId="3" xfId="0" applyNumberFormat="1" applyFont="1" applyFill="1" applyBorder="1" applyAlignment="1">
      <alignment horizontal="center" wrapText="1"/>
    </xf>
    <xf numFmtId="0" fontId="8" fillId="3" borderId="6" xfId="0" applyFont="1" applyFill="1" applyBorder="1" applyAlignment="1">
      <alignment horizontal="center" wrapText="1"/>
    </xf>
    <xf numFmtId="0" fontId="8" fillId="3" borderId="8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37" fontId="8" fillId="3" borderId="2" xfId="0" applyNumberFormat="1" applyFont="1" applyFill="1" applyBorder="1" applyAlignment="1">
      <alignment horizontal="center" wrapText="1"/>
    </xf>
    <xf numFmtId="37" fontId="8" fillId="3" borderId="3" xfId="0" applyNumberFormat="1" applyFont="1" applyFill="1" applyBorder="1" applyAlignment="1">
      <alignment horizontal="center" wrapText="1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" fontId="8" fillId="3" borderId="2" xfId="0" applyNumberFormat="1" applyFont="1" applyFill="1" applyBorder="1" applyAlignment="1">
      <alignment horizontal="center"/>
    </xf>
    <xf numFmtId="1" fontId="8" fillId="3" borderId="3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37" fontId="0" fillId="0" borderId="1" xfId="1" applyNumberFormat="1" applyFont="1" applyBorder="1" applyAlignment="1">
      <alignment vertical="center" wrapText="1"/>
    </xf>
    <xf numFmtId="4" fontId="0" fillId="5" borderId="1" xfId="0" applyNumberFormat="1" applyFill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</cellXfs>
  <cellStyles count="3">
    <cellStyle name="Comma" xfId="1" builtinId="3"/>
    <cellStyle name="Comma 2" xfId="2" xr:uid="{B750ADAD-1A7A-4735-BD61-5CF3E71888FC}"/>
    <cellStyle name="Normal" xfId="0" builtinId="0"/>
  </cellStyles>
  <dxfs count="0"/>
  <tableStyles count="0" defaultTableStyle="TableStyleMedium2" defaultPivotStyle="PivotStyleLight16"/>
  <colors>
    <mruColors>
      <color rgb="FF0B0F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F7EB-8FDF-4F1F-9279-E57EAC82D005}">
  <dimension ref="A1:P29"/>
  <sheetViews>
    <sheetView zoomScale="108" zoomScaleNormal="108" workbookViewId="0">
      <pane xSplit="1" topLeftCell="B1" activePane="topRight" state="frozen"/>
      <selection activeCell="B1" sqref="B1"/>
      <selection pane="topRight" activeCell="E9" sqref="E9"/>
    </sheetView>
  </sheetViews>
  <sheetFormatPr defaultRowHeight="14.5" x14ac:dyDescent="0.35"/>
  <cols>
    <col min="1" max="1" width="13.7265625" style="28" bestFit="1" customWidth="1"/>
    <col min="2" max="2" width="15" style="28" bestFit="1" customWidth="1"/>
    <col min="3" max="3" width="17.90625" style="24" customWidth="1"/>
    <col min="4" max="4" width="15.90625" style="24" bestFit="1" customWidth="1"/>
    <col min="5" max="5" width="14.08984375" style="24" bestFit="1" customWidth="1"/>
    <col min="6" max="6" width="20" style="24" customWidth="1"/>
    <col min="7" max="7" width="10.26953125" style="24" customWidth="1"/>
    <col min="8" max="8" width="13.1796875" style="24" bestFit="1" customWidth="1"/>
    <col min="9" max="9" width="13.1796875" style="24" customWidth="1"/>
    <col min="10" max="10" width="19.6328125" style="24" customWidth="1"/>
    <col min="11" max="11" width="19.26953125" style="24" customWidth="1"/>
    <col min="12" max="12" width="19.36328125" style="24" customWidth="1"/>
    <col min="13" max="13" width="23.81640625" style="24" customWidth="1"/>
    <col min="14" max="14" width="18.453125" style="24" customWidth="1"/>
    <col min="15" max="15" width="21.6328125" style="24" customWidth="1"/>
    <col min="16" max="16" width="24.36328125" style="24" customWidth="1"/>
    <col min="17" max="16384" width="8.7265625" style="24"/>
  </cols>
  <sheetData>
    <row r="1" spans="1:16" ht="34" customHeight="1" x14ac:dyDescent="0.35">
      <c r="A1" s="61" t="s">
        <v>0</v>
      </c>
      <c r="B1" s="61" t="s">
        <v>21</v>
      </c>
      <c r="C1" s="62" t="s">
        <v>37</v>
      </c>
      <c r="D1" s="62" t="s">
        <v>38</v>
      </c>
      <c r="E1" s="62" t="s">
        <v>27</v>
      </c>
      <c r="F1" s="62" t="s">
        <v>139</v>
      </c>
      <c r="G1" s="62" t="s">
        <v>133</v>
      </c>
      <c r="H1" s="62" t="s">
        <v>2</v>
      </c>
      <c r="I1" s="62" t="s">
        <v>133</v>
      </c>
      <c r="J1" s="62" t="s">
        <v>140</v>
      </c>
      <c r="K1" s="62" t="s">
        <v>141</v>
      </c>
      <c r="L1" s="63" t="s">
        <v>60</v>
      </c>
      <c r="M1" s="62" t="s">
        <v>61</v>
      </c>
      <c r="N1" s="62" t="s">
        <v>62</v>
      </c>
      <c r="O1" s="63" t="s">
        <v>63</v>
      </c>
      <c r="P1" s="62" t="s">
        <v>16</v>
      </c>
    </row>
    <row r="2" spans="1:16" ht="43.5" x14ac:dyDescent="0.35">
      <c r="A2" s="22">
        <v>100314743761</v>
      </c>
      <c r="B2" s="26">
        <v>45957</v>
      </c>
      <c r="C2" s="23" t="s">
        <v>18</v>
      </c>
      <c r="D2" s="23" t="s">
        <v>19</v>
      </c>
      <c r="E2" s="23" t="s">
        <v>98</v>
      </c>
      <c r="F2" s="58">
        <v>2025360</v>
      </c>
      <c r="G2" s="23" t="s">
        <v>4</v>
      </c>
      <c r="H2" s="23">
        <v>64.408000000000001</v>
      </c>
      <c r="I2" s="23" t="s">
        <v>4</v>
      </c>
      <c r="J2" s="58">
        <v>130449386.88</v>
      </c>
      <c r="K2" s="59">
        <v>3913481</v>
      </c>
      <c r="L2" s="23">
        <v>0</v>
      </c>
      <c r="M2" s="59">
        <v>2608987</v>
      </c>
      <c r="N2" s="59">
        <v>20000</v>
      </c>
      <c r="O2" s="59">
        <v>30000</v>
      </c>
      <c r="P2" s="58">
        <v>6718143.4199999999</v>
      </c>
    </row>
    <row r="3" spans="1:16" ht="43.5" x14ac:dyDescent="0.35">
      <c r="A3" s="22">
        <v>100313870641</v>
      </c>
      <c r="B3" s="26">
        <v>45944</v>
      </c>
      <c r="C3" s="23" t="s">
        <v>18</v>
      </c>
      <c r="D3" s="23" t="s">
        <v>19</v>
      </c>
      <c r="E3" s="23" t="s">
        <v>99</v>
      </c>
      <c r="F3" s="58">
        <v>1172853.4953999999</v>
      </c>
      <c r="G3" s="23" t="s">
        <v>4</v>
      </c>
      <c r="H3" s="23">
        <v>65.002499999999998</v>
      </c>
      <c r="I3" s="23" t="s">
        <v>4</v>
      </c>
      <c r="J3" s="58">
        <v>98773433.290000007</v>
      </c>
      <c r="K3" s="58">
        <v>14816014.99</v>
      </c>
      <c r="L3" s="58">
        <v>5679472.4100000001</v>
      </c>
      <c r="M3" s="59">
        <v>1975468</v>
      </c>
      <c r="N3" s="59">
        <v>20000</v>
      </c>
      <c r="O3" s="59">
        <v>30000</v>
      </c>
      <c r="P3" s="23">
        <v>0</v>
      </c>
    </row>
    <row r="4" spans="1:16" ht="43.5" x14ac:dyDescent="0.35">
      <c r="A4" s="22">
        <v>100313868761</v>
      </c>
      <c r="B4" s="26">
        <v>45944</v>
      </c>
      <c r="C4" s="23" t="s">
        <v>18</v>
      </c>
      <c r="D4" s="23" t="s">
        <v>19</v>
      </c>
      <c r="E4" s="23" t="s">
        <v>98</v>
      </c>
      <c r="F4" s="27">
        <v>1118431.8</v>
      </c>
      <c r="G4" s="23" t="s">
        <v>4</v>
      </c>
      <c r="H4" s="23">
        <v>65.002499999999998</v>
      </c>
      <c r="I4" s="23" t="s">
        <v>4</v>
      </c>
      <c r="J4" s="27">
        <v>72802797.390000001</v>
      </c>
      <c r="K4" s="59">
        <v>10920419</v>
      </c>
      <c r="M4" s="59">
        <v>1456055</v>
      </c>
      <c r="N4" s="59">
        <v>20000</v>
      </c>
      <c r="O4" s="59">
        <v>30000</v>
      </c>
      <c r="P4" s="23">
        <v>0</v>
      </c>
    </row>
    <row r="5" spans="1:16" x14ac:dyDescent="0.35">
      <c r="A5" s="24"/>
      <c r="B5" s="24"/>
    </row>
    <row r="6" spans="1:16" x14ac:dyDescent="0.35">
      <c r="A6" s="24"/>
      <c r="B6" s="24"/>
    </row>
    <row r="7" spans="1:16" x14ac:dyDescent="0.35">
      <c r="A7" s="24"/>
      <c r="B7" s="24"/>
    </row>
    <row r="8" spans="1:16" x14ac:dyDescent="0.35">
      <c r="A8" s="24"/>
      <c r="B8" s="24"/>
    </row>
    <row r="9" spans="1:16" x14ac:dyDescent="0.35">
      <c r="A9" s="24"/>
      <c r="B9" s="24"/>
    </row>
    <row r="10" spans="1:16" x14ac:dyDescent="0.35">
      <c r="A10" s="24"/>
      <c r="B10" s="24"/>
    </row>
    <row r="11" spans="1:16" x14ac:dyDescent="0.35">
      <c r="A11" s="24"/>
      <c r="B11" s="24"/>
    </row>
    <row r="12" spans="1:16" x14ac:dyDescent="0.35">
      <c r="A12" s="24"/>
      <c r="B12" s="24"/>
    </row>
    <row r="13" spans="1:16" x14ac:dyDescent="0.35">
      <c r="A13" s="24"/>
      <c r="B13" s="24"/>
    </row>
    <row r="14" spans="1:16" x14ac:dyDescent="0.35">
      <c r="A14" s="24"/>
      <c r="B14" s="24"/>
    </row>
    <row r="15" spans="1:16" x14ac:dyDescent="0.35">
      <c r="A15" s="24"/>
      <c r="B15" s="24"/>
    </row>
    <row r="16" spans="1:16" x14ac:dyDescent="0.35">
      <c r="A16" s="24"/>
      <c r="B16" s="24"/>
    </row>
    <row r="17" s="24" customFormat="1" x14ac:dyDescent="0.35"/>
    <row r="18" s="24" customFormat="1" x14ac:dyDescent="0.35"/>
    <row r="19" s="24" customFormat="1" x14ac:dyDescent="0.35"/>
    <row r="20" s="24" customFormat="1" x14ac:dyDescent="0.35"/>
    <row r="21" s="24" customFormat="1" x14ac:dyDescent="0.35"/>
    <row r="22" s="24" customFormat="1" x14ac:dyDescent="0.35"/>
    <row r="23" s="24" customFormat="1" x14ac:dyDescent="0.35"/>
    <row r="24" s="24" customFormat="1" x14ac:dyDescent="0.35"/>
    <row r="25" s="24" customFormat="1" x14ac:dyDescent="0.35"/>
    <row r="26" s="24" customFormat="1" x14ac:dyDescent="0.35"/>
    <row r="27" s="24" customFormat="1" x14ac:dyDescent="0.35"/>
    <row r="28" s="24" customFormat="1" x14ac:dyDescent="0.35"/>
    <row r="29" s="24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A315-F18E-4C94-A8E3-6E70D09D526F}">
  <dimension ref="A1:W2"/>
  <sheetViews>
    <sheetView tabSelected="1" topLeftCell="C1" workbookViewId="0">
      <selection activeCell="G7" sqref="G7"/>
    </sheetView>
  </sheetViews>
  <sheetFormatPr defaultRowHeight="14.5" x14ac:dyDescent="0.35"/>
  <cols>
    <col min="1" max="1" width="12.90625" bestFit="1" customWidth="1"/>
    <col min="3" max="3" width="14.6328125" bestFit="1" customWidth="1"/>
    <col min="4" max="4" width="15.90625" bestFit="1" customWidth="1"/>
    <col min="5" max="5" width="14.08984375" bestFit="1" customWidth="1"/>
    <col min="6" max="6" width="15.36328125" customWidth="1"/>
    <col min="7" max="7" width="15" bestFit="1" customWidth="1"/>
    <col min="9" max="9" width="14.36328125" customWidth="1"/>
    <col min="10" max="10" width="18" bestFit="1" customWidth="1"/>
    <col min="12" max="12" width="16.81640625" bestFit="1" customWidth="1"/>
    <col min="14" max="14" width="18.26953125" bestFit="1" customWidth="1"/>
    <col min="16" max="16" width="21.7265625" bestFit="1" customWidth="1"/>
    <col min="18" max="18" width="14.90625" bestFit="1" customWidth="1"/>
    <col min="20" max="20" width="21.26953125" bestFit="1" customWidth="1"/>
  </cols>
  <sheetData>
    <row r="1" spans="1:23" x14ac:dyDescent="0.35">
      <c r="A1" s="60" t="s">
        <v>142</v>
      </c>
      <c r="B1" s="60" t="s">
        <v>21</v>
      </c>
      <c r="C1" s="60" t="s">
        <v>37</v>
      </c>
      <c r="D1" s="60" t="s">
        <v>38</v>
      </c>
      <c r="E1" s="60" t="s">
        <v>27</v>
      </c>
      <c r="F1" s="60" t="s">
        <v>1</v>
      </c>
      <c r="G1" s="60" t="s">
        <v>143</v>
      </c>
      <c r="H1" s="87" t="s">
        <v>2</v>
      </c>
      <c r="I1" s="87" t="s">
        <v>144</v>
      </c>
      <c r="J1" s="60" t="s">
        <v>17</v>
      </c>
      <c r="K1" s="60" t="s">
        <v>145</v>
      </c>
      <c r="L1" s="87" t="s">
        <v>146</v>
      </c>
      <c r="M1" s="60" t="s">
        <v>147</v>
      </c>
      <c r="N1" s="87" t="s">
        <v>60</v>
      </c>
      <c r="O1" s="60" t="s">
        <v>148</v>
      </c>
      <c r="P1" s="60" t="s">
        <v>61</v>
      </c>
      <c r="Q1" s="60" t="s">
        <v>149</v>
      </c>
      <c r="R1" s="87" t="s">
        <v>62</v>
      </c>
      <c r="S1" s="60" t="s">
        <v>150</v>
      </c>
      <c r="T1" s="60" t="s">
        <v>63</v>
      </c>
      <c r="U1" s="60" t="s">
        <v>151</v>
      </c>
      <c r="V1" s="60" t="s">
        <v>16</v>
      </c>
      <c r="W1" s="60" t="s">
        <v>152</v>
      </c>
    </row>
    <row r="2" spans="1:23" ht="58" x14ac:dyDescent="0.35">
      <c r="A2" s="88">
        <v>100319576711</v>
      </c>
      <c r="B2" s="89">
        <v>46029</v>
      </c>
      <c r="C2" s="90" t="s">
        <v>18</v>
      </c>
      <c r="D2" s="90" t="s">
        <v>19</v>
      </c>
      <c r="E2" s="90">
        <v>960773210</v>
      </c>
      <c r="F2" s="90" t="s">
        <v>153</v>
      </c>
      <c r="G2" s="90" t="s">
        <v>5</v>
      </c>
      <c r="H2" s="91">
        <v>94.5</v>
      </c>
      <c r="I2" s="91" t="s">
        <v>154</v>
      </c>
      <c r="J2" s="92" t="s">
        <v>155</v>
      </c>
      <c r="K2" s="90" t="s">
        <v>154</v>
      </c>
      <c r="L2" s="91" t="s">
        <v>156</v>
      </c>
      <c r="M2" s="90" t="s">
        <v>154</v>
      </c>
      <c r="N2" s="91" t="s">
        <v>157</v>
      </c>
      <c r="O2" s="90" t="s">
        <v>154</v>
      </c>
      <c r="P2" s="90" t="s">
        <v>158</v>
      </c>
      <c r="Q2" s="90" t="s">
        <v>154</v>
      </c>
      <c r="R2" s="93">
        <v>30000</v>
      </c>
      <c r="S2" s="90" t="s">
        <v>154</v>
      </c>
      <c r="T2" s="94">
        <v>30000</v>
      </c>
      <c r="U2" s="90" t="s">
        <v>154</v>
      </c>
      <c r="V2" s="90">
        <v>0</v>
      </c>
      <c r="W2" s="90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600B-A5FD-49D7-8A3E-EAAFF16C788E}">
  <dimension ref="B1:B15"/>
  <sheetViews>
    <sheetView workbookViewId="0">
      <selection activeCell="B2" sqref="B2:B12"/>
    </sheetView>
  </sheetViews>
  <sheetFormatPr defaultRowHeight="14.5" x14ac:dyDescent="0.35"/>
  <cols>
    <col min="2" max="2" width="88.54296875" bestFit="1" customWidth="1"/>
    <col min="3" max="3" width="9.90625" customWidth="1"/>
    <col min="4" max="4" width="10.08984375" customWidth="1"/>
    <col min="5" max="6" width="12.453125" customWidth="1"/>
    <col min="7" max="7" width="13.26953125" customWidth="1"/>
    <col min="8" max="8" width="12.6328125" bestFit="1" customWidth="1"/>
    <col min="9" max="9" width="16.54296875" bestFit="1" customWidth="1"/>
    <col min="10" max="10" width="14.08984375" customWidth="1"/>
    <col min="11" max="11" width="13.90625" bestFit="1" customWidth="1"/>
    <col min="12" max="12" width="17.36328125" bestFit="1" customWidth="1"/>
    <col min="13" max="13" width="10.7265625" bestFit="1" customWidth="1"/>
    <col min="14" max="14" width="15.90625" bestFit="1" customWidth="1"/>
  </cols>
  <sheetData>
    <row r="1" spans="2:2" x14ac:dyDescent="0.35">
      <c r="B1" t="s">
        <v>22</v>
      </c>
    </row>
    <row r="2" spans="2:2" x14ac:dyDescent="0.35">
      <c r="B2" s="3" t="s">
        <v>0</v>
      </c>
    </row>
    <row r="3" spans="2:2" x14ac:dyDescent="0.35">
      <c r="B3" s="7" t="s">
        <v>21</v>
      </c>
    </row>
    <row r="4" spans="2:2" x14ac:dyDescent="0.35">
      <c r="B4" s="3" t="s">
        <v>12</v>
      </c>
    </row>
    <row r="5" spans="2:2" x14ac:dyDescent="0.35">
      <c r="B5" s="3" t="s">
        <v>6</v>
      </c>
    </row>
    <row r="6" spans="2:2" x14ac:dyDescent="0.35">
      <c r="B6" s="3" t="s">
        <v>13</v>
      </c>
    </row>
    <row r="7" spans="2:2" x14ac:dyDescent="0.35">
      <c r="B7" s="3" t="s">
        <v>1</v>
      </c>
    </row>
    <row r="8" spans="2:2" x14ac:dyDescent="0.35">
      <c r="B8" s="3" t="s">
        <v>2</v>
      </c>
    </row>
    <row r="9" spans="2:2" x14ac:dyDescent="0.35">
      <c r="B9" s="3" t="s">
        <v>3</v>
      </c>
    </row>
    <row r="10" spans="2:2" ht="14.5" customHeight="1" x14ac:dyDescent="0.35">
      <c r="B10" s="4" t="s">
        <v>7</v>
      </c>
    </row>
    <row r="11" spans="2:2" x14ac:dyDescent="0.35">
      <c r="B11" s="3" t="s">
        <v>8</v>
      </c>
    </row>
    <row r="12" spans="2:2" x14ac:dyDescent="0.35">
      <c r="B12" s="3" t="s">
        <v>9</v>
      </c>
    </row>
    <row r="13" spans="2:2" x14ac:dyDescent="0.35">
      <c r="B13" s="3" t="s">
        <v>10</v>
      </c>
    </row>
    <row r="14" spans="2:2" x14ac:dyDescent="0.35">
      <c r="B14" s="3" t="s">
        <v>11</v>
      </c>
    </row>
    <row r="15" spans="2:2" x14ac:dyDescent="0.35">
      <c r="B15" s="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7C7D-AED7-4E3A-B4DE-EAE23EC79B5B}">
  <dimension ref="A1:B8"/>
  <sheetViews>
    <sheetView workbookViewId="0">
      <selection activeCell="B2" sqref="B2:B12"/>
    </sheetView>
  </sheetViews>
  <sheetFormatPr defaultRowHeight="14.5" x14ac:dyDescent="0.35"/>
  <cols>
    <col min="1" max="1" width="14.36328125" customWidth="1"/>
    <col min="2" max="2" width="22.08984375" bestFit="1" customWidth="1"/>
  </cols>
  <sheetData>
    <row r="1" spans="1:2" x14ac:dyDescent="0.35">
      <c r="A1" s="2" t="s">
        <v>82</v>
      </c>
      <c r="B1" s="2" t="s">
        <v>83</v>
      </c>
    </row>
    <row r="2" spans="1:2" x14ac:dyDescent="0.35">
      <c r="A2" s="2" t="s">
        <v>84</v>
      </c>
      <c r="B2" s="2" t="s">
        <v>90</v>
      </c>
    </row>
    <row r="3" spans="1:2" x14ac:dyDescent="0.35">
      <c r="A3" s="2" t="s">
        <v>85</v>
      </c>
      <c r="B3" s="2" t="s">
        <v>91</v>
      </c>
    </row>
    <row r="4" spans="1:2" x14ac:dyDescent="0.35">
      <c r="A4" s="2" t="s">
        <v>87</v>
      </c>
      <c r="B4" s="2" t="s">
        <v>92</v>
      </c>
    </row>
    <row r="5" spans="1:2" x14ac:dyDescent="0.35">
      <c r="A5" s="2" t="s">
        <v>86</v>
      </c>
      <c r="B5" s="2" t="s">
        <v>93</v>
      </c>
    </row>
    <row r="6" spans="1:2" x14ac:dyDescent="0.35">
      <c r="A6" s="2" t="s">
        <v>88</v>
      </c>
      <c r="B6" s="2" t="s">
        <v>95</v>
      </c>
    </row>
    <row r="7" spans="1:2" x14ac:dyDescent="0.35">
      <c r="A7" s="2" t="s">
        <v>89</v>
      </c>
      <c r="B7" s="2" t="s">
        <v>94</v>
      </c>
    </row>
    <row r="8" spans="1:2" x14ac:dyDescent="0.35">
      <c r="A8" s="2" t="s">
        <v>97</v>
      </c>
      <c r="B8" s="2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730D-A955-4BA2-89F3-096984B1CC40}">
  <dimension ref="A1:U15"/>
  <sheetViews>
    <sheetView topLeftCell="I1" workbookViewId="0">
      <selection activeCell="B2" sqref="B2:B12"/>
    </sheetView>
  </sheetViews>
  <sheetFormatPr defaultColWidth="8.81640625" defaultRowHeight="14.5" x14ac:dyDescent="0.35"/>
  <cols>
    <col min="1" max="1" width="3.54296875" style="24" customWidth="1"/>
    <col min="2" max="2" width="14.36328125" style="28" customWidth="1"/>
    <col min="3" max="3" width="9.81640625" style="24" customWidth="1"/>
    <col min="4" max="4" width="5.1796875" style="28" customWidth="1"/>
    <col min="5" max="5" width="17.1796875" style="24" customWidth="1"/>
    <col min="6" max="6" width="13.08984375" style="24" customWidth="1"/>
    <col min="7" max="7" width="6.08984375" style="24" customWidth="1"/>
    <col min="8" max="8" width="14.81640625" style="24" customWidth="1"/>
    <col min="9" max="9" width="7.08984375" style="24" customWidth="1"/>
    <col min="10" max="10" width="20.36328125" style="24" bestFit="1" customWidth="1"/>
    <col min="11" max="11" width="12.54296875" style="24" bestFit="1" customWidth="1"/>
    <col min="12" max="12" width="16.81640625" style="34" bestFit="1" customWidth="1"/>
    <col min="13" max="13" width="16.81640625" style="24" bestFit="1" customWidth="1"/>
    <col min="14" max="14" width="11.453125" style="24" customWidth="1"/>
    <col min="15" max="15" width="2.08984375" style="36" customWidth="1"/>
    <col min="16" max="16" width="29.90625" style="24" bestFit="1" customWidth="1"/>
    <col min="17" max="17" width="8.81640625" style="28"/>
    <col min="18" max="18" width="6.81640625" style="24" customWidth="1"/>
    <col min="19" max="19" width="5.1796875" style="24" customWidth="1"/>
    <col min="20" max="20" width="8.54296875" style="24" customWidth="1"/>
    <col min="21" max="21" width="14.81640625" style="24" customWidth="1"/>
    <col min="22" max="16384" width="8.81640625" style="24"/>
  </cols>
  <sheetData>
    <row r="1" spans="1:21" s="25" customFormat="1" ht="22" customHeight="1" x14ac:dyDescent="0.35">
      <c r="A1" s="29" t="s">
        <v>100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 t="s">
        <v>101</v>
      </c>
    </row>
    <row r="2" spans="1:21" s="25" customFormat="1" x14ac:dyDescent="0.35">
      <c r="A2" s="64" t="s">
        <v>102</v>
      </c>
      <c r="B2" s="66" t="s">
        <v>103</v>
      </c>
      <c r="C2" s="66" t="s">
        <v>104</v>
      </c>
      <c r="D2" s="66" t="s">
        <v>105</v>
      </c>
      <c r="E2" s="66" t="s">
        <v>106</v>
      </c>
      <c r="F2" s="66" t="s">
        <v>13</v>
      </c>
      <c r="G2" s="72" t="s">
        <v>107</v>
      </c>
      <c r="H2" s="66" t="s">
        <v>108</v>
      </c>
      <c r="I2" s="66" t="s">
        <v>109</v>
      </c>
      <c r="J2" s="74" t="s">
        <v>110</v>
      </c>
      <c r="K2" s="66" t="s">
        <v>111</v>
      </c>
      <c r="L2" s="68" t="s">
        <v>112</v>
      </c>
      <c r="M2" s="66" t="s">
        <v>113</v>
      </c>
      <c r="N2" s="70" t="s">
        <v>114</v>
      </c>
      <c r="O2" s="31"/>
      <c r="P2" s="76" t="s">
        <v>115</v>
      </c>
      <c r="Q2" s="78" t="s">
        <v>116</v>
      </c>
      <c r="R2" s="76" t="s">
        <v>117</v>
      </c>
      <c r="S2" s="76" t="s">
        <v>118</v>
      </c>
      <c r="T2" s="76" t="s">
        <v>119</v>
      </c>
      <c r="U2" s="76" t="s">
        <v>120</v>
      </c>
    </row>
    <row r="3" spans="1:21" s="25" customFormat="1" ht="41.5" customHeight="1" x14ac:dyDescent="0.35">
      <c r="A3" s="65"/>
      <c r="B3" s="67"/>
      <c r="C3" s="67"/>
      <c r="D3" s="67"/>
      <c r="E3" s="67"/>
      <c r="F3" s="67"/>
      <c r="G3" s="73"/>
      <c r="H3" s="67"/>
      <c r="I3" s="67"/>
      <c r="J3" s="75"/>
      <c r="K3" s="67"/>
      <c r="L3" s="69"/>
      <c r="M3" s="67"/>
      <c r="N3" s="71"/>
      <c r="O3" s="31"/>
      <c r="P3" s="77"/>
      <c r="Q3" s="79"/>
      <c r="R3" s="77"/>
      <c r="S3" s="77"/>
      <c r="T3" s="77"/>
      <c r="U3" s="77"/>
    </row>
    <row r="4" spans="1:21" ht="22" customHeight="1" x14ac:dyDescent="0.35">
      <c r="A4" s="35">
        <v>1</v>
      </c>
      <c r="B4" s="28">
        <v>200143489500</v>
      </c>
      <c r="C4" s="32">
        <v>45793</v>
      </c>
      <c r="D4" s="28" t="s">
        <v>121</v>
      </c>
      <c r="E4" s="24" t="s">
        <v>122</v>
      </c>
      <c r="F4" s="24" t="s">
        <v>125</v>
      </c>
      <c r="G4" s="24" t="s">
        <v>4</v>
      </c>
      <c r="H4" s="33">
        <v>571040</v>
      </c>
      <c r="I4" s="33">
        <v>62.734999999999999</v>
      </c>
      <c r="J4" s="33">
        <f t="shared" ref="J4" si="0">H4*I4</f>
        <v>35824194.399999999</v>
      </c>
      <c r="K4" s="33"/>
      <c r="L4" s="37">
        <v>716483</v>
      </c>
      <c r="M4" s="33"/>
      <c r="N4" s="33">
        <v>20000</v>
      </c>
      <c r="O4" s="38"/>
      <c r="P4" s="24" t="s">
        <v>124</v>
      </c>
      <c r="Q4" s="39">
        <v>13760</v>
      </c>
      <c r="R4" s="35" t="s">
        <v>123</v>
      </c>
      <c r="S4" s="24" t="s">
        <v>4</v>
      </c>
      <c r="T4" s="40">
        <v>41.5</v>
      </c>
      <c r="U4" s="33">
        <f>Q4*T4</f>
        <v>571040</v>
      </c>
    </row>
    <row r="5" spans="1:21" ht="22" customHeight="1" x14ac:dyDescent="0.35">
      <c r="A5" s="35"/>
      <c r="C5" s="32"/>
      <c r="H5" s="33"/>
      <c r="I5" s="33"/>
      <c r="J5" s="33"/>
      <c r="K5" s="33"/>
      <c r="L5" s="37"/>
      <c r="M5" s="33"/>
      <c r="N5" s="33"/>
      <c r="O5" s="38"/>
      <c r="P5" s="33"/>
      <c r="Q5" s="39"/>
      <c r="R5" s="33"/>
      <c r="S5" s="33"/>
      <c r="T5" s="33"/>
      <c r="U5" s="33"/>
    </row>
    <row r="6" spans="1:21" s="25" customFormat="1" ht="22" customHeight="1" thickBot="1" x14ac:dyDescent="0.4">
      <c r="A6" s="42"/>
      <c r="B6" s="44"/>
      <c r="C6" s="42"/>
      <c r="D6" s="44"/>
      <c r="E6" s="42"/>
      <c r="F6" s="42"/>
      <c r="G6" s="42"/>
      <c r="H6" s="45">
        <f>SUBTOTAL(9,H4:H5)</f>
        <v>571040</v>
      </c>
      <c r="I6" s="45"/>
      <c r="J6" s="43">
        <f>SUBTOTAL(9,J4:J5)</f>
        <v>35824194.399999999</v>
      </c>
      <c r="K6" s="43"/>
      <c r="L6" s="46">
        <f>SUBTOTAL(9,L4:L5)</f>
        <v>716483</v>
      </c>
      <c r="M6" s="43"/>
      <c r="N6" s="43">
        <f>SUBTOTAL(9,N4:N5)</f>
        <v>20000</v>
      </c>
      <c r="O6" s="47"/>
      <c r="P6" s="45"/>
      <c r="Q6" s="48"/>
      <c r="R6" s="45"/>
      <c r="S6" s="45"/>
      <c r="T6" s="45"/>
      <c r="U6" s="43">
        <f>SUBTOTAL(9,U4:U5)</f>
        <v>571040</v>
      </c>
    </row>
    <row r="7" spans="1:21" s="3" customFormat="1" ht="8.5" customHeight="1" thickTop="1" x14ac:dyDescent="0.35">
      <c r="B7" s="49"/>
      <c r="D7" s="49"/>
      <c r="H7" s="50"/>
      <c r="I7" s="51"/>
      <c r="J7" s="51"/>
      <c r="K7" s="51"/>
      <c r="L7" s="52"/>
      <c r="M7" s="51"/>
      <c r="N7" s="51"/>
      <c r="O7" s="53"/>
    </row>
    <row r="9" spans="1:21" x14ac:dyDescent="0.35">
      <c r="T9" s="24" t="s">
        <v>126</v>
      </c>
      <c r="U9" s="41">
        <v>31533068.100000001</v>
      </c>
    </row>
    <row r="11" spans="1:21" x14ac:dyDescent="0.35">
      <c r="T11" s="24" t="s">
        <v>127</v>
      </c>
      <c r="U11" s="54">
        <f>U6-U9</f>
        <v>-30962028.100000001</v>
      </c>
    </row>
    <row r="13" spans="1:21" x14ac:dyDescent="0.35">
      <c r="T13" s="24" t="s">
        <v>128</v>
      </c>
      <c r="U13" s="54" t="e">
        <f>#REF!+#REF!+#REF!+#REF!</f>
        <v>#REF!</v>
      </c>
    </row>
    <row r="15" spans="1:21" x14ac:dyDescent="0.35">
      <c r="U15" s="54" t="e">
        <f>U13-U11</f>
        <v>#REF!</v>
      </c>
    </row>
  </sheetData>
  <mergeCells count="20">
    <mergeCell ref="U2:U3"/>
    <mergeCell ref="P2:P3"/>
    <mergeCell ref="Q2:Q3"/>
    <mergeCell ref="R2:R3"/>
    <mergeCell ref="S2:S3"/>
    <mergeCell ref="T2:T3"/>
    <mergeCell ref="L2:L3"/>
    <mergeCell ref="M2:M3"/>
    <mergeCell ref="N2:N3"/>
    <mergeCell ref="F2:F3"/>
    <mergeCell ref="G2:G3"/>
    <mergeCell ref="H2:H3"/>
    <mergeCell ref="I2:I3"/>
    <mergeCell ref="J2:J3"/>
    <mergeCell ref="K2:K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3509-8609-45D6-83EE-09AE3FAAAE54}">
  <dimension ref="A1:B18"/>
  <sheetViews>
    <sheetView workbookViewId="0">
      <selection activeCell="B2" sqref="B2:B12"/>
    </sheetView>
  </sheetViews>
  <sheetFormatPr defaultRowHeight="14.5" x14ac:dyDescent="0.35"/>
  <cols>
    <col min="1" max="1" width="30.90625" bestFit="1" customWidth="1"/>
    <col min="2" max="2" width="44.81640625" bestFit="1" customWidth="1"/>
  </cols>
  <sheetData>
    <row r="1" spans="1:2" x14ac:dyDescent="0.35">
      <c r="A1" s="55"/>
    </row>
    <row r="2" spans="1:2" x14ac:dyDescent="0.35">
      <c r="A2" s="2" t="s">
        <v>0</v>
      </c>
      <c r="B2" s="80" t="s">
        <v>134</v>
      </c>
    </row>
    <row r="3" spans="1:2" x14ac:dyDescent="0.35">
      <c r="A3" s="2" t="s">
        <v>21</v>
      </c>
      <c r="B3" s="80"/>
    </row>
    <row r="4" spans="1:2" x14ac:dyDescent="0.35">
      <c r="A4" s="2" t="s">
        <v>105</v>
      </c>
      <c r="B4" s="80"/>
    </row>
    <row r="5" spans="1:2" x14ac:dyDescent="0.35">
      <c r="A5" s="2" t="s">
        <v>106</v>
      </c>
      <c r="B5" s="80"/>
    </row>
    <row r="6" spans="1:2" x14ac:dyDescent="0.35">
      <c r="A6" s="2" t="s">
        <v>13</v>
      </c>
      <c r="B6" s="80"/>
    </row>
    <row r="7" spans="1:2" x14ac:dyDescent="0.35">
      <c r="A7" s="2" t="s">
        <v>1</v>
      </c>
      <c r="B7" s="80"/>
    </row>
    <row r="8" spans="1:2" x14ac:dyDescent="0.35">
      <c r="A8" s="2" t="s">
        <v>2</v>
      </c>
      <c r="B8" s="80"/>
    </row>
    <row r="9" spans="1:2" x14ac:dyDescent="0.35">
      <c r="A9" s="2" t="s">
        <v>135</v>
      </c>
      <c r="B9" s="80"/>
    </row>
    <row r="10" spans="1:2" x14ac:dyDescent="0.35">
      <c r="A10" s="2" t="s">
        <v>136</v>
      </c>
      <c r="B10" s="80"/>
    </row>
    <row r="11" spans="1:2" x14ac:dyDescent="0.35">
      <c r="A11" s="2" t="s">
        <v>137</v>
      </c>
      <c r="B11" s="80"/>
    </row>
    <row r="12" spans="1:2" x14ac:dyDescent="0.35">
      <c r="A12" s="2" t="s">
        <v>138</v>
      </c>
      <c r="B12" s="80"/>
    </row>
    <row r="13" spans="1:2" x14ac:dyDescent="0.35">
      <c r="A13" s="56" t="s">
        <v>130</v>
      </c>
      <c r="B13" s="81" t="s">
        <v>129</v>
      </c>
    </row>
    <row r="14" spans="1:2" x14ac:dyDescent="0.35">
      <c r="A14" s="57" t="s">
        <v>116</v>
      </c>
      <c r="B14" s="81"/>
    </row>
    <row r="15" spans="1:2" x14ac:dyDescent="0.35">
      <c r="A15" s="56" t="s">
        <v>131</v>
      </c>
      <c r="B15" s="81"/>
    </row>
    <row r="16" spans="1:2" x14ac:dyDescent="0.35">
      <c r="A16" s="56" t="s">
        <v>133</v>
      </c>
      <c r="B16" s="81"/>
    </row>
    <row r="17" spans="1:2" x14ac:dyDescent="0.35">
      <c r="A17" s="56" t="s">
        <v>132</v>
      </c>
      <c r="B17" s="81"/>
    </row>
    <row r="18" spans="1:2" x14ac:dyDescent="0.35">
      <c r="A18" s="56" t="s">
        <v>120</v>
      </c>
      <c r="B18" s="81"/>
    </row>
  </sheetData>
  <mergeCells count="2">
    <mergeCell ref="B2:B12"/>
    <mergeCell ref="B13:B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9CC7-D591-4D9D-846B-807537AE01A9}">
  <dimension ref="A1:N48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RowHeight="14.5" x14ac:dyDescent="0.35"/>
  <cols>
    <col min="1" max="1" width="11.26953125" bestFit="1" customWidth="1"/>
    <col min="2" max="2" width="14" style="14" customWidth="1"/>
    <col min="3" max="3" width="17.90625" customWidth="1"/>
    <col min="4" max="4" width="15.90625" bestFit="1" customWidth="1"/>
    <col min="5" max="5" width="14.08984375" bestFit="1" customWidth="1"/>
    <col min="6" max="6" width="18.26953125" customWidth="1"/>
    <col min="7" max="7" width="13.08984375" bestFit="1" customWidth="1"/>
    <col min="8" max="8" width="18.6328125" customWidth="1"/>
    <col min="9" max="9" width="19.26953125" customWidth="1"/>
    <col min="10" max="10" width="19.36328125" customWidth="1"/>
    <col min="11" max="11" width="23.81640625" customWidth="1"/>
    <col min="12" max="12" width="18.453125" customWidth="1"/>
    <col min="13" max="13" width="21.6328125" customWidth="1"/>
    <col min="14" max="14" width="24.36328125" customWidth="1"/>
  </cols>
  <sheetData>
    <row r="1" spans="1:14" x14ac:dyDescent="0.35">
      <c r="A1" s="3" t="s">
        <v>75</v>
      </c>
      <c r="B1" s="13" t="s">
        <v>0</v>
      </c>
      <c r="C1" s="12" t="s">
        <v>37</v>
      </c>
      <c r="D1" s="12" t="s">
        <v>38</v>
      </c>
      <c r="E1" s="12" t="s">
        <v>27</v>
      </c>
      <c r="F1" s="12" t="s">
        <v>39</v>
      </c>
      <c r="G1" s="12" t="s">
        <v>2</v>
      </c>
      <c r="H1" s="12" t="s">
        <v>40</v>
      </c>
      <c r="I1" s="12" t="s">
        <v>41</v>
      </c>
      <c r="J1" s="21" t="s">
        <v>60</v>
      </c>
      <c r="K1" s="12" t="s">
        <v>61</v>
      </c>
      <c r="L1" s="12" t="s">
        <v>62</v>
      </c>
      <c r="M1" s="21" t="s">
        <v>63</v>
      </c>
      <c r="N1" s="12" t="s">
        <v>16</v>
      </c>
    </row>
    <row r="2" spans="1:14" s="18" customFormat="1" ht="29" x14ac:dyDescent="0.35">
      <c r="A2" s="18" t="s">
        <v>80</v>
      </c>
      <c r="B2" s="16">
        <v>100313870641</v>
      </c>
      <c r="C2" s="17" t="s">
        <v>18</v>
      </c>
      <c r="D2" s="17" t="s">
        <v>19</v>
      </c>
      <c r="E2" s="17" t="s">
        <v>42</v>
      </c>
      <c r="F2" s="17" t="s">
        <v>43</v>
      </c>
      <c r="G2" s="17" t="s">
        <v>44</v>
      </c>
      <c r="H2" s="17" t="s">
        <v>45</v>
      </c>
      <c r="I2" s="17" t="s">
        <v>65</v>
      </c>
      <c r="J2" s="17" t="s">
        <v>66</v>
      </c>
      <c r="K2" s="17" t="s">
        <v>48</v>
      </c>
      <c r="L2" s="17" t="s">
        <v>67</v>
      </c>
      <c r="M2" s="17" t="s">
        <v>68</v>
      </c>
      <c r="N2" s="17" t="s">
        <v>51</v>
      </c>
    </row>
    <row r="3" spans="1:14" ht="29" x14ac:dyDescent="0.35">
      <c r="A3" t="s">
        <v>81</v>
      </c>
      <c r="B3" s="6">
        <v>100313870641</v>
      </c>
      <c r="C3" s="5" t="s">
        <v>18</v>
      </c>
      <c r="D3" s="5" t="s">
        <v>19</v>
      </c>
      <c r="E3" s="5" t="s">
        <v>42</v>
      </c>
      <c r="F3" s="5" t="s">
        <v>43</v>
      </c>
      <c r="G3" s="5" t="s">
        <v>44</v>
      </c>
      <c r="H3" s="5" t="s">
        <v>45</v>
      </c>
      <c r="I3" s="15" t="s">
        <v>46</v>
      </c>
      <c r="J3" s="15" t="s">
        <v>47</v>
      </c>
      <c r="K3" s="5" t="s">
        <v>48</v>
      </c>
      <c r="L3" s="15" t="s">
        <v>49</v>
      </c>
      <c r="M3" s="15" t="s">
        <v>50</v>
      </c>
      <c r="N3" s="5" t="s">
        <v>51</v>
      </c>
    </row>
    <row r="4" spans="1:14" ht="29" x14ac:dyDescent="0.35">
      <c r="A4" t="s">
        <v>81</v>
      </c>
      <c r="B4" s="6">
        <v>100313870641</v>
      </c>
      <c r="C4" s="5" t="s">
        <v>18</v>
      </c>
      <c r="D4" s="5" t="s">
        <v>19</v>
      </c>
      <c r="E4" s="15" t="s">
        <v>64</v>
      </c>
      <c r="F4" s="5" t="s">
        <v>43</v>
      </c>
      <c r="G4" s="5" t="s">
        <v>44</v>
      </c>
      <c r="H4" s="5" t="s">
        <v>45</v>
      </c>
      <c r="I4" s="5" t="s">
        <v>65</v>
      </c>
      <c r="J4" s="5" t="s">
        <v>66</v>
      </c>
      <c r="K4" s="5" t="s">
        <v>48</v>
      </c>
      <c r="L4" s="5" t="s">
        <v>67</v>
      </c>
      <c r="M4" s="5" t="s">
        <v>68</v>
      </c>
      <c r="N4" s="5" t="s">
        <v>51</v>
      </c>
    </row>
    <row r="5" spans="1:14" s="24" customFormat="1" ht="29" x14ac:dyDescent="0.35">
      <c r="A5" t="s">
        <v>81</v>
      </c>
      <c r="B5" s="22">
        <v>100313870641</v>
      </c>
      <c r="C5" s="23" t="s">
        <v>18</v>
      </c>
      <c r="D5" s="23" t="s">
        <v>19</v>
      </c>
      <c r="E5" s="23" t="s">
        <v>42</v>
      </c>
      <c r="F5" s="23" t="s">
        <v>43</v>
      </c>
      <c r="G5" s="23" t="s">
        <v>44</v>
      </c>
      <c r="H5" s="23" t="s">
        <v>45</v>
      </c>
      <c r="I5" s="23" t="s">
        <v>65</v>
      </c>
      <c r="J5" s="23" t="s">
        <v>66</v>
      </c>
      <c r="K5" s="23" t="s">
        <v>48</v>
      </c>
      <c r="L5" s="23" t="s">
        <v>67</v>
      </c>
      <c r="M5" s="23" t="s">
        <v>68</v>
      </c>
      <c r="N5" s="23" t="s">
        <v>51</v>
      </c>
    </row>
    <row r="6" spans="1:14" ht="29" x14ac:dyDescent="0.35">
      <c r="A6" t="s">
        <v>81</v>
      </c>
      <c r="B6" s="22">
        <v>100313870641</v>
      </c>
      <c r="C6" s="5" t="s">
        <v>18</v>
      </c>
      <c r="D6" s="5" t="s">
        <v>19</v>
      </c>
      <c r="E6" s="5" t="s">
        <v>42</v>
      </c>
      <c r="F6" s="5" t="s">
        <v>43</v>
      </c>
      <c r="G6" s="5" t="s">
        <v>44</v>
      </c>
      <c r="H6" s="5" t="s">
        <v>45</v>
      </c>
      <c r="I6" s="5" t="s">
        <v>65</v>
      </c>
      <c r="J6" s="5" t="s">
        <v>66</v>
      </c>
      <c r="K6" s="5" t="s">
        <v>48</v>
      </c>
      <c r="L6" s="15" t="s">
        <v>72</v>
      </c>
      <c r="M6" s="15" t="s">
        <v>78</v>
      </c>
      <c r="N6" s="5" t="s">
        <v>79</v>
      </c>
    </row>
    <row r="7" spans="1:14" x14ac:dyDescent="0.35">
      <c r="B7"/>
    </row>
    <row r="8" spans="1:14" x14ac:dyDescent="0.35">
      <c r="B8"/>
    </row>
    <row r="13" spans="1:14" x14ac:dyDescent="0.35">
      <c r="A13" s="3" t="s">
        <v>75</v>
      </c>
      <c r="B13" s="12" t="s">
        <v>0</v>
      </c>
      <c r="C13" s="12" t="s">
        <v>37</v>
      </c>
      <c r="D13" s="12" t="s">
        <v>38</v>
      </c>
      <c r="E13" s="12" t="s">
        <v>27</v>
      </c>
      <c r="F13" s="12" t="s">
        <v>1</v>
      </c>
      <c r="G13" s="12" t="s">
        <v>2</v>
      </c>
      <c r="H13" s="21" t="s">
        <v>17</v>
      </c>
      <c r="I13" s="12" t="s">
        <v>59</v>
      </c>
      <c r="J13" s="21" t="s">
        <v>60</v>
      </c>
      <c r="K13" s="12" t="s">
        <v>61</v>
      </c>
      <c r="L13" s="12" t="s">
        <v>62</v>
      </c>
      <c r="M13" s="21" t="s">
        <v>63</v>
      </c>
      <c r="N13" s="12" t="s">
        <v>16</v>
      </c>
    </row>
    <row r="14" spans="1:14" s="18" customFormat="1" ht="43.5" x14ac:dyDescent="0.35">
      <c r="A14" s="18" t="s">
        <v>80</v>
      </c>
      <c r="B14" s="16">
        <v>100314743761</v>
      </c>
      <c r="C14" s="17" t="s">
        <v>18</v>
      </c>
      <c r="D14" s="17" t="s">
        <v>19</v>
      </c>
      <c r="E14" s="17" t="s">
        <v>20</v>
      </c>
      <c r="F14" s="17" t="s">
        <v>52</v>
      </c>
      <c r="G14" s="17" t="s">
        <v>53</v>
      </c>
      <c r="H14" s="17" t="s">
        <v>54</v>
      </c>
      <c r="I14" s="17" t="s">
        <v>73</v>
      </c>
      <c r="J14" s="19">
        <v>0</v>
      </c>
      <c r="K14" s="17" t="s">
        <v>57</v>
      </c>
      <c r="L14" s="17" t="s">
        <v>67</v>
      </c>
      <c r="M14" s="17" t="s">
        <v>68</v>
      </c>
      <c r="N14" s="20" t="s">
        <v>74</v>
      </c>
    </row>
    <row r="15" spans="1:14" ht="43.5" x14ac:dyDescent="0.35">
      <c r="A15" t="s">
        <v>81</v>
      </c>
      <c r="B15" s="6">
        <v>100314743761</v>
      </c>
      <c r="C15" s="5" t="s">
        <v>18</v>
      </c>
      <c r="D15" s="5" t="s">
        <v>19</v>
      </c>
      <c r="E15" s="5" t="s">
        <v>20</v>
      </c>
      <c r="F15" s="5" t="s">
        <v>52</v>
      </c>
      <c r="G15" s="5" t="s">
        <v>53</v>
      </c>
      <c r="H15" s="5" t="s">
        <v>54</v>
      </c>
      <c r="I15" s="15" t="s">
        <v>55</v>
      </c>
      <c r="J15" s="15" t="s">
        <v>56</v>
      </c>
      <c r="K15" s="5" t="s">
        <v>57</v>
      </c>
      <c r="L15" s="15" t="s">
        <v>58</v>
      </c>
      <c r="M15" s="15" t="s">
        <v>50</v>
      </c>
      <c r="N15" s="15" t="s">
        <v>51</v>
      </c>
    </row>
    <row r="16" spans="1:14" ht="43.5" x14ac:dyDescent="0.35">
      <c r="A16" t="s">
        <v>81</v>
      </c>
      <c r="B16" s="6">
        <v>100314743761</v>
      </c>
      <c r="C16" s="5" t="s">
        <v>18</v>
      </c>
      <c r="D16" s="5" t="s">
        <v>69</v>
      </c>
      <c r="E16" s="15" t="s">
        <v>70</v>
      </c>
      <c r="F16" s="15" t="s">
        <v>71</v>
      </c>
      <c r="G16" s="15" t="s">
        <v>72</v>
      </c>
      <c r="H16" s="5" t="s">
        <v>54</v>
      </c>
      <c r="I16" s="5" t="s">
        <v>73</v>
      </c>
      <c r="J16" s="15" t="s">
        <v>56</v>
      </c>
      <c r="K16" s="5" t="s">
        <v>57</v>
      </c>
      <c r="L16" s="5" t="s">
        <v>67</v>
      </c>
      <c r="M16" s="5" t="s">
        <v>68</v>
      </c>
      <c r="N16" s="15" t="s">
        <v>51</v>
      </c>
    </row>
    <row r="17" spans="1:14" ht="43.5" x14ac:dyDescent="0.35">
      <c r="A17" t="s">
        <v>81</v>
      </c>
      <c r="B17" s="6">
        <v>100314743761</v>
      </c>
      <c r="C17" s="5" t="s">
        <v>18</v>
      </c>
      <c r="D17" s="5" t="s">
        <v>76</v>
      </c>
      <c r="E17" s="5" t="s">
        <v>20</v>
      </c>
      <c r="F17" s="15" t="s">
        <v>77</v>
      </c>
      <c r="G17" s="15" t="s">
        <v>72</v>
      </c>
      <c r="H17" s="5" t="s">
        <v>54</v>
      </c>
      <c r="I17" s="15" t="s">
        <v>55</v>
      </c>
      <c r="J17" s="15" t="s">
        <v>56</v>
      </c>
      <c r="K17" s="5" t="s">
        <v>57</v>
      </c>
      <c r="L17" s="5" t="s">
        <v>67</v>
      </c>
      <c r="M17" s="5" t="s">
        <v>68</v>
      </c>
      <c r="N17" s="15" t="s">
        <v>51</v>
      </c>
    </row>
    <row r="18" spans="1:14" x14ac:dyDescent="0.35">
      <c r="B18"/>
    </row>
    <row r="19" spans="1:14" x14ac:dyDescent="0.35">
      <c r="B19"/>
    </row>
    <row r="20" spans="1:14" x14ac:dyDescent="0.35">
      <c r="B20"/>
    </row>
    <row r="21" spans="1:14" x14ac:dyDescent="0.35">
      <c r="B21"/>
    </row>
    <row r="22" spans="1:14" x14ac:dyDescent="0.35">
      <c r="B22"/>
    </row>
    <row r="23" spans="1:14" x14ac:dyDescent="0.35">
      <c r="B23"/>
    </row>
    <row r="24" spans="1:14" x14ac:dyDescent="0.35">
      <c r="B24"/>
    </row>
    <row r="25" spans="1:14" x14ac:dyDescent="0.35">
      <c r="B25"/>
    </row>
    <row r="26" spans="1:14" x14ac:dyDescent="0.35">
      <c r="B26"/>
    </row>
    <row r="27" spans="1:14" x14ac:dyDescent="0.35">
      <c r="B27"/>
    </row>
    <row r="28" spans="1:14" x14ac:dyDescent="0.35">
      <c r="B28"/>
    </row>
    <row r="29" spans="1:14" x14ac:dyDescent="0.35">
      <c r="B29"/>
    </row>
    <row r="30" spans="1:14" x14ac:dyDescent="0.35">
      <c r="B30"/>
    </row>
    <row r="31" spans="1:14" x14ac:dyDescent="0.35">
      <c r="B31"/>
    </row>
    <row r="32" spans="1:14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37E4-36CF-4620-B23C-9F7BFAA9F694}">
  <dimension ref="A1:O12"/>
  <sheetViews>
    <sheetView workbookViewId="0">
      <selection activeCell="E13" sqref="E13"/>
    </sheetView>
  </sheetViews>
  <sheetFormatPr defaultRowHeight="14.5" x14ac:dyDescent="0.35"/>
  <cols>
    <col min="2" max="2" width="19.6328125" bestFit="1" customWidth="1"/>
    <col min="3" max="3" width="9.90625" customWidth="1"/>
    <col min="4" max="4" width="10.08984375" customWidth="1"/>
    <col min="5" max="5" width="13.26953125" customWidth="1"/>
    <col min="6" max="7" width="12.453125" customWidth="1"/>
    <col min="8" max="8" width="12.6328125" bestFit="1" customWidth="1"/>
    <col min="9" max="9" width="16.54296875" bestFit="1" customWidth="1"/>
    <col min="10" max="10" width="14.08984375" customWidth="1"/>
    <col min="11" max="11" width="13.90625" bestFit="1" customWidth="1"/>
    <col min="12" max="12" width="17.36328125" bestFit="1" customWidth="1"/>
    <col min="13" max="13" width="10.7265625" bestFit="1" customWidth="1"/>
    <col min="14" max="14" width="15.90625" bestFit="1" customWidth="1"/>
    <col min="15" max="15" width="19.26953125" bestFit="1" customWidth="1"/>
  </cols>
  <sheetData>
    <row r="1" spans="1:15" ht="14.5" customHeight="1" x14ac:dyDescent="0.35">
      <c r="A1" s="82" t="s">
        <v>15</v>
      </c>
      <c r="B1" s="83" t="s">
        <v>0</v>
      </c>
      <c r="C1" s="83" t="s">
        <v>12</v>
      </c>
      <c r="D1" s="83" t="s">
        <v>6</v>
      </c>
      <c r="E1" s="83" t="s">
        <v>13</v>
      </c>
      <c r="F1" s="82" t="s">
        <v>1</v>
      </c>
      <c r="G1" s="82"/>
      <c r="H1" s="83" t="s">
        <v>2</v>
      </c>
      <c r="I1" s="83" t="s">
        <v>3</v>
      </c>
      <c r="J1" s="85" t="s">
        <v>7</v>
      </c>
      <c r="K1" s="83" t="s">
        <v>8</v>
      </c>
      <c r="L1" s="83" t="s">
        <v>9</v>
      </c>
      <c r="M1" s="83" t="s">
        <v>10</v>
      </c>
      <c r="N1" s="82" t="s">
        <v>11</v>
      </c>
      <c r="O1" s="82" t="s">
        <v>16</v>
      </c>
    </row>
    <row r="2" spans="1:15" x14ac:dyDescent="0.35">
      <c r="A2" s="82"/>
      <c r="B2" s="84"/>
      <c r="C2" s="84"/>
      <c r="D2" s="84"/>
      <c r="E2" s="84"/>
      <c r="F2" s="1" t="s">
        <v>4</v>
      </c>
      <c r="G2" s="1" t="s">
        <v>5</v>
      </c>
      <c r="H2" s="84"/>
      <c r="I2" s="84"/>
      <c r="J2" s="86"/>
      <c r="K2" s="84"/>
      <c r="L2" s="84"/>
      <c r="M2" s="84"/>
      <c r="N2" s="82"/>
      <c r="O2" s="82"/>
    </row>
    <row r="3" spans="1:15" x14ac:dyDescent="0.35">
      <c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mergeCells count="14">
    <mergeCell ref="E1:E2"/>
    <mergeCell ref="F1:G1"/>
    <mergeCell ref="A1:A2"/>
    <mergeCell ref="B1:B2"/>
    <mergeCell ref="C1:C2"/>
    <mergeCell ref="D1:D2"/>
    <mergeCell ref="N1:N2"/>
    <mergeCell ref="O1:O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1181-48A5-4BEB-B3DA-65E37C6A310C}">
  <dimension ref="A1:A29"/>
  <sheetViews>
    <sheetView topLeftCell="A22" workbookViewId="0">
      <selection activeCell="A34" sqref="A34"/>
    </sheetView>
  </sheetViews>
  <sheetFormatPr defaultRowHeight="18.5" x14ac:dyDescent="0.45"/>
  <cols>
    <col min="1" max="1" width="127.453125" style="9" bestFit="1" customWidth="1"/>
    <col min="2" max="16384" width="8.7265625" style="9"/>
  </cols>
  <sheetData>
    <row r="1" spans="1:1" ht="21" x14ac:dyDescent="0.45">
      <c r="A1" s="8" t="s">
        <v>23</v>
      </c>
    </row>
    <row r="2" spans="1:1" x14ac:dyDescent="0.45">
      <c r="A2" s="10"/>
    </row>
    <row r="3" spans="1:1" ht="21" x14ac:dyDescent="0.45">
      <c r="A3" s="11" t="s">
        <v>24</v>
      </c>
    </row>
    <row r="4" spans="1:1" x14ac:dyDescent="0.45">
      <c r="A4" s="10"/>
    </row>
    <row r="5" spans="1:1" ht="21" x14ac:dyDescent="0.45">
      <c r="A5" s="11" t="s">
        <v>21</v>
      </c>
    </row>
    <row r="6" spans="1:1" x14ac:dyDescent="0.45">
      <c r="A6" s="10"/>
    </row>
    <row r="7" spans="1:1" ht="21" x14ac:dyDescent="0.45">
      <c r="A7" s="11" t="s">
        <v>25</v>
      </c>
    </row>
    <row r="8" spans="1:1" x14ac:dyDescent="0.45">
      <c r="A8" s="10"/>
    </row>
    <row r="9" spans="1:1" ht="21" x14ac:dyDescent="0.45">
      <c r="A9" s="11" t="s">
        <v>26</v>
      </c>
    </row>
    <row r="10" spans="1:1" x14ac:dyDescent="0.45">
      <c r="A10" s="10"/>
    </row>
    <row r="11" spans="1:1" ht="21" x14ac:dyDescent="0.45">
      <c r="A11" s="11" t="s">
        <v>27</v>
      </c>
    </row>
    <row r="12" spans="1:1" x14ac:dyDescent="0.45">
      <c r="A12" s="10"/>
    </row>
    <row r="13" spans="1:1" ht="21" x14ac:dyDescent="0.45">
      <c r="A13" s="11" t="s">
        <v>28</v>
      </c>
    </row>
    <row r="14" spans="1:1" x14ac:dyDescent="0.45">
      <c r="A14" s="10"/>
    </row>
    <row r="15" spans="1:1" ht="21" x14ac:dyDescent="0.45">
      <c r="A15" s="11" t="s">
        <v>29</v>
      </c>
    </row>
    <row r="16" spans="1:1" x14ac:dyDescent="0.45">
      <c r="A16" s="10"/>
    </row>
    <row r="17" spans="1:1" ht="21" x14ac:dyDescent="0.45">
      <c r="A17" s="11" t="s">
        <v>30</v>
      </c>
    </row>
    <row r="18" spans="1:1" x14ac:dyDescent="0.45">
      <c r="A18" s="10"/>
    </row>
    <row r="19" spans="1:1" ht="21" x14ac:dyDescent="0.45">
      <c r="A19" s="11" t="s">
        <v>31</v>
      </c>
    </row>
    <row r="20" spans="1:1" x14ac:dyDescent="0.45">
      <c r="A20" s="10"/>
    </row>
    <row r="21" spans="1:1" ht="21" x14ac:dyDescent="0.45">
      <c r="A21" s="11" t="s">
        <v>32</v>
      </c>
    </row>
    <row r="22" spans="1:1" x14ac:dyDescent="0.45">
      <c r="A22" s="10"/>
    </row>
    <row r="23" spans="1:1" ht="21" x14ac:dyDescent="0.45">
      <c r="A23" s="11" t="s">
        <v>33</v>
      </c>
    </row>
    <row r="24" spans="1:1" x14ac:dyDescent="0.45">
      <c r="A24" s="10"/>
    </row>
    <row r="25" spans="1:1" ht="21" x14ac:dyDescent="0.45">
      <c r="A25" s="11" t="s">
        <v>34</v>
      </c>
    </row>
    <row r="26" spans="1:1" x14ac:dyDescent="0.45">
      <c r="A26" s="10"/>
    </row>
    <row r="27" spans="1:1" ht="21" x14ac:dyDescent="0.45">
      <c r="A27" s="11" t="s">
        <v>35</v>
      </c>
    </row>
    <row r="28" spans="1:1" x14ac:dyDescent="0.45">
      <c r="A28" s="10"/>
    </row>
    <row r="29" spans="1:1" ht="21" x14ac:dyDescent="0.45">
      <c r="A29" s="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 Data</vt:lpstr>
      <vt:lpstr>Results</vt:lpstr>
      <vt:lpstr>Requirement Data for RO</vt:lpstr>
      <vt:lpstr>Group</vt:lpstr>
      <vt:lpstr>Export Data</vt:lpstr>
      <vt:lpstr>Requirement Data for ED</vt:lpstr>
      <vt:lpstr>Teting Data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 Su Myat Htwe</dc:creator>
  <cp:lastModifiedBy>Saw Su Myat Htwe</cp:lastModifiedBy>
  <dcterms:created xsi:type="dcterms:W3CDTF">2025-11-05T08:24:49Z</dcterms:created>
  <dcterms:modified xsi:type="dcterms:W3CDTF">2026-03-05T04:23:45Z</dcterms:modified>
</cp:coreProperties>
</file>